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rghi\Downloads\"/>
    </mc:Choice>
  </mc:AlternateContent>
  <xr:revisionPtr revIDLastSave="0" documentId="13_ncr:1_{AFE6D571-DF67-45F0-8F4D-4A2A681C5364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Team Gan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1" i="1" l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G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G20" i="1"/>
  <c r="AH19" i="1"/>
  <c r="AG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G19" i="1"/>
  <c r="AH18" i="1"/>
  <c r="AG18" i="1"/>
  <c r="AF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G18" i="1"/>
  <c r="AH17" i="1"/>
  <c r="AG17" i="1"/>
  <c r="AF17" i="1"/>
  <c r="AE17" i="1"/>
  <c r="AD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G17" i="1"/>
  <c r="AH16" i="1"/>
  <c r="AG16" i="1"/>
  <c r="AF16" i="1"/>
  <c r="AE16" i="1"/>
  <c r="AD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G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G15" i="1"/>
  <c r="AH14" i="1"/>
  <c r="AG14" i="1"/>
  <c r="AF14" i="1"/>
  <c r="AE14" i="1"/>
  <c r="AD14" i="1"/>
  <c r="AC14" i="1"/>
  <c r="AB14" i="1"/>
  <c r="AA14" i="1"/>
  <c r="Z14" i="1"/>
  <c r="Y14" i="1"/>
  <c r="S14" i="1"/>
  <c r="R14" i="1"/>
  <c r="Q14" i="1"/>
  <c r="P14" i="1"/>
  <c r="O14" i="1"/>
  <c r="N14" i="1"/>
  <c r="M14" i="1"/>
  <c r="L14" i="1"/>
  <c r="K14" i="1"/>
  <c r="G14" i="1"/>
  <c r="AH13" i="1"/>
  <c r="AG13" i="1"/>
  <c r="AF13" i="1"/>
  <c r="AE13" i="1"/>
  <c r="AD13" i="1"/>
  <c r="AC13" i="1"/>
  <c r="AB13" i="1"/>
  <c r="AA13" i="1"/>
  <c r="Z13" i="1"/>
  <c r="Y13" i="1"/>
  <c r="T13" i="1"/>
  <c r="S13" i="1"/>
  <c r="R13" i="1"/>
  <c r="Q13" i="1"/>
  <c r="P13" i="1"/>
  <c r="O13" i="1"/>
  <c r="N13" i="1"/>
  <c r="M13" i="1"/>
  <c r="L13" i="1"/>
  <c r="K13" i="1"/>
  <c r="G13" i="1"/>
  <c r="AH12" i="1"/>
  <c r="AG12" i="1"/>
  <c r="AF12" i="1"/>
  <c r="AE12" i="1"/>
  <c r="AD12" i="1"/>
  <c r="AC12" i="1"/>
  <c r="AB12" i="1"/>
  <c r="AA12" i="1"/>
  <c r="Z12" i="1"/>
  <c r="Y12" i="1"/>
  <c r="T12" i="1"/>
  <c r="S12" i="1"/>
  <c r="R12" i="1"/>
  <c r="Q12" i="1"/>
  <c r="P12" i="1"/>
  <c r="O12" i="1"/>
  <c r="N12" i="1"/>
  <c r="M12" i="1"/>
  <c r="L12" i="1"/>
  <c r="K12" i="1"/>
  <c r="G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Q11" i="1"/>
  <c r="P11" i="1"/>
  <c r="O11" i="1"/>
  <c r="N11" i="1"/>
  <c r="M11" i="1"/>
  <c r="L11" i="1"/>
  <c r="K11" i="1"/>
  <c r="G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Q10" i="1"/>
  <c r="P10" i="1"/>
  <c r="O10" i="1"/>
  <c r="N10" i="1"/>
  <c r="M10" i="1"/>
  <c r="L10" i="1"/>
  <c r="K10" i="1"/>
  <c r="G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P9" i="1"/>
  <c r="O9" i="1"/>
  <c r="N9" i="1"/>
  <c r="M9" i="1"/>
  <c r="L9" i="1"/>
  <c r="K9" i="1"/>
  <c r="G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N8" i="1"/>
  <c r="M8" i="1"/>
  <c r="L8" i="1"/>
  <c r="K8" i="1"/>
  <c r="G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O7" i="1"/>
  <c r="N7" i="1"/>
  <c r="M7" i="1"/>
  <c r="L7" i="1"/>
  <c r="K7" i="1"/>
  <c r="G7" i="1"/>
</calcChain>
</file>

<file path=xl/sharedStrings.xml><?xml version="1.0" encoding="utf-8"?>
<sst xmlns="http://schemas.openxmlformats.org/spreadsheetml/2006/main" count="103" uniqueCount="69">
  <si>
    <t>Colours: Arghi = blue; Numan = green; Jack = purple; Ruth = amber; shared = grey; submission = red.</t>
  </si>
  <si>
    <t>September</t>
  </si>
  <si>
    <t>October</t>
  </si>
  <si>
    <t>ID</t>
  </si>
  <si>
    <t>Activity</t>
  </si>
  <si>
    <t>Lead</t>
  </si>
  <si>
    <t>Support / review</t>
  </si>
  <si>
    <t>Start</t>
  </si>
  <si>
    <t>Finish</t>
  </si>
  <si>
    <t>Days</t>
  </si>
  <si>
    <t>Depends on</t>
  </si>
  <si>
    <t>Status</t>
  </si>
  <si>
    <t>1</t>
  </si>
  <si>
    <t>GitHub setup and folders</t>
  </si>
  <si>
    <t>Arghi</t>
  </si>
  <si>
    <t>Everyone</t>
  </si>
  <si>
    <t>None</t>
  </si>
  <si>
    <t>2</t>
  </si>
  <si>
    <t>Task 0 Gantt chart</t>
  </si>
  <si>
    <t>Team roles agreed</t>
  </si>
  <si>
    <t>3</t>
  </si>
  <si>
    <t>Task 1 CSV analysis</t>
  </si>
  <si>
    <t>Numan</t>
  </si>
  <si>
    <t>Ruth</t>
  </si>
  <si>
    <t>CSV files available</t>
  </si>
  <si>
    <t>4</t>
  </si>
  <si>
    <t>Task 2 requirements</t>
  </si>
  <si>
    <t>Team scope discussion</t>
  </si>
  <si>
    <t>5</t>
  </si>
  <si>
    <t>Task 2 use cases</t>
  </si>
  <si>
    <t>Arghi + Jack</t>
  </si>
  <si>
    <t>4: draft requirements</t>
  </si>
  <si>
    <t>6</t>
  </si>
  <si>
    <t>Task 3 database design</t>
  </si>
  <si>
    <t>3, 4</t>
  </si>
  <si>
    <t>7</t>
  </si>
  <si>
    <t>Class diagram</t>
  </si>
  <si>
    <t>Jack</t>
  </si>
  <si>
    <t>4, 5</t>
  </si>
  <si>
    <t>8</t>
  </si>
  <si>
    <t>Wireframes and navigation</t>
  </si>
  <si>
    <t>9</t>
  </si>
  <si>
    <t>Design review</t>
  </si>
  <si>
    <t>6, 7, 8: drafts</t>
  </si>
  <si>
    <t>10</t>
  </si>
  <si>
    <t>Python backend and SQLite</t>
  </si>
  <si>
    <t>Numan + Jack</t>
  </si>
  <si>
    <t>9: design agreed</t>
  </si>
  <si>
    <t>11</t>
  </si>
  <si>
    <t>Tkinter GUI</t>
  </si>
  <si>
    <t>12</t>
  </si>
  <si>
    <t>Integrate GUI and backend</t>
  </si>
  <si>
    <t>Jack + Ruth</t>
  </si>
  <si>
    <t>10, 11: components ready</t>
  </si>
  <si>
    <t>13</t>
  </si>
  <si>
    <t>Testing and bug fixes</t>
  </si>
  <si>
    <t>12: integrated build</t>
  </si>
  <si>
    <t>14</t>
  </si>
  <si>
    <t>Final documents and package</t>
  </si>
  <si>
    <t>13; final diagrams</t>
  </si>
  <si>
    <t>15</t>
  </si>
  <si>
    <t>Submit on Moodle</t>
  </si>
  <si>
    <t>Everyone checks</t>
  </si>
  <si>
    <t>14; team approval</t>
  </si>
  <si>
    <t>Done</t>
  </si>
  <si>
    <t>Brick Buster Gantt Chart</t>
  </si>
  <si>
    <t>Not started</t>
  </si>
  <si>
    <t>In review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</si>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</sst>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"/>
    <numFmt numFmtId="165" formatCode="d\ mmm"/>
    <numFmt numFmtId="166" formatCode=";;;"/>
  </numFmts>
  <fonts count="13">
    <font>
      <sz val="11"/>
      <name val="Carlito"/>
    </font>
    <font>
      <sz val="10"/>
      <color rgb="FF263445"/>
      <name val="Arial"/>
    </font>
    <font>
      <b/>
      <sz val="16"/>
      <color rgb="FF263445"/>
      <name val="Arial"/>
    </font>
    <font>
      <b/>
      <sz val="10"/>
      <color rgb="FFFFFFFF"/>
      <name val="Arial"/>
    </font>
    <font>
      <b/>
      <sz val="10"/>
      <color rgb="FF2F6BBA"/>
      <name val="Arial"/>
    </font>
    <font>
      <b/>
      <sz val="10"/>
      <color rgb="FF178574"/>
      <name val="Arial"/>
    </font>
    <font>
      <b/>
      <sz val="10"/>
      <color rgb="FF8B5EB5"/>
      <name val="Arial"/>
    </font>
    <font>
      <b/>
      <sz val="10"/>
      <color rgb="FF526575"/>
      <name val="Arial"/>
    </font>
    <font>
      <b/>
      <sz val="10"/>
      <color rgb="FFD58B27"/>
      <name val="Arial"/>
    </font>
    <font>
      <b/>
      <sz val="10"/>
      <color rgb="FFB83F4B"/>
      <name val="Arial"/>
    </font>
    <font>
      <sz val="10"/>
      <color rgb="FF263445"/>
      <name val="Arial"/>
      <family val="2"/>
    </font>
    <font>
      <b/>
      <sz val="10"/>
      <color theme="0"/>
      <name val="Arial"/>
      <family val="2"/>
    </font>
    <font>
      <b/>
      <sz val="16"/>
      <color rgb="FF263445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0F3F6"/>
      </patternFill>
    </fill>
    <fill>
      <patternFill patternType="solid">
        <fgColor rgb="FFE9EDF1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165" fontId="1" fillId="3" borderId="1" xfId="0" applyNumberFormat="1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1" fontId="1" fillId="4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166" fontId="1" fillId="0" borderId="1" xfId="0" applyNumberFormat="1" applyFont="1" applyBorder="1" applyAlignment="1">
      <alignment vertical="center"/>
    </xf>
    <xf numFmtId="166" fontId="1" fillId="5" borderId="1" xfId="0" applyNumberFormat="1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164" fontId="3" fillId="6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66" fontId="1" fillId="0" borderId="2" xfId="0" applyNumberFormat="1" applyFont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/>
    </xf>
    <xf numFmtId="166" fontId="1" fillId="0" borderId="10" xfId="0" applyNumberFormat="1" applyFont="1" applyBorder="1" applyAlignment="1">
      <alignment horizontal="center" vertical="center"/>
    </xf>
    <xf numFmtId="166" fontId="1" fillId="0" borderId="7" xfId="0" applyNumberFormat="1" applyFont="1" applyBorder="1" applyAlignment="1">
      <alignment horizontal="center" vertical="center"/>
    </xf>
    <xf numFmtId="166" fontId="1" fillId="0" borderId="8" xfId="0" applyNumberFormat="1" applyFont="1" applyBorder="1" applyAlignment="1">
      <alignment horizontal="center" vertical="center"/>
    </xf>
    <xf numFmtId="166" fontId="1" fillId="0" borderId="11" xfId="0" applyNumberFormat="1" applyFont="1" applyBorder="1" applyAlignment="1">
      <alignment horizontal="center" vertical="center"/>
    </xf>
    <xf numFmtId="166" fontId="1" fillId="0" borderId="9" xfId="0" applyNumberFormat="1" applyFont="1" applyBorder="1" applyAlignment="1">
      <alignment horizontal="center" vertical="center"/>
    </xf>
    <xf numFmtId="166" fontId="1" fillId="5" borderId="2" xfId="0" applyNumberFormat="1" applyFont="1" applyFill="1" applyBorder="1" applyAlignment="1">
      <alignment horizontal="center" vertical="center"/>
    </xf>
    <xf numFmtId="166" fontId="1" fillId="5" borderId="3" xfId="0" applyNumberFormat="1" applyFont="1" applyFill="1" applyBorder="1" applyAlignment="1">
      <alignment horizontal="center" vertical="center"/>
    </xf>
    <xf numFmtId="166" fontId="1" fillId="5" borderId="4" xfId="0" applyNumberFormat="1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166" fontId="1" fillId="5" borderId="6" xfId="0" applyNumberFormat="1" applyFont="1" applyFill="1" applyBorder="1" applyAlignment="1">
      <alignment horizontal="center" vertical="center"/>
    </xf>
    <xf numFmtId="166" fontId="1" fillId="5" borderId="7" xfId="0" applyNumberFormat="1" applyFont="1" applyFill="1" applyBorder="1" applyAlignment="1">
      <alignment horizontal="center" vertical="center"/>
    </xf>
    <xf numFmtId="166" fontId="1" fillId="5" borderId="8" xfId="0" applyNumberFormat="1" applyFont="1" applyFill="1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2">
    <dxf>
      <fill>
        <patternFill>
          <bgColor rgb="FFB83F4B"/>
        </patternFill>
      </fill>
    </dxf>
    <dxf>
      <fill>
        <patternFill>
          <bgColor rgb="FF2F6BBA"/>
        </patternFill>
      </fill>
    </dxf>
    <dxf>
      <fill>
        <patternFill>
          <bgColor rgb="FF526575"/>
        </patternFill>
      </fill>
    </dxf>
    <dxf>
      <fill>
        <patternFill>
          <bgColor rgb="FF526575"/>
        </patternFill>
      </fill>
    </dxf>
    <dxf>
      <fill>
        <patternFill>
          <bgColor rgb="FF8B5EB5"/>
        </patternFill>
      </fill>
    </dxf>
    <dxf>
      <fill>
        <patternFill>
          <bgColor rgb="FFD58B27"/>
        </patternFill>
      </fill>
    </dxf>
    <dxf>
      <fill>
        <patternFill>
          <bgColor rgb="FF8B5EB5"/>
        </patternFill>
      </fill>
    </dxf>
    <dxf>
      <fill>
        <patternFill>
          <bgColor rgb="FF178574"/>
        </patternFill>
      </fill>
    </dxf>
    <dxf>
      <fill>
        <patternFill>
          <bgColor rgb="FF8B5EB5"/>
        </patternFill>
      </fill>
    </dxf>
    <dxf>
      <fill>
        <patternFill>
          <bgColor rgb="FF2F6BBA"/>
        </patternFill>
      </fill>
    </dxf>
    <dxf>
      <fill>
        <patternFill>
          <bgColor rgb="FF178574"/>
        </patternFill>
      </fill>
    </dxf>
    <dxf>
      <fill>
        <patternFill>
          <bgColor rgb="FF2F6BB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0"/>
  <sheetViews>
    <sheetView showGridLines="0" tabSelected="1" workbookViewId="0">
      <pane xSplit="2" ySplit="6" topLeftCell="C13" activePane="bottomRight" state="frozen"/>
      <selection pane="topRight"/>
      <selection pane="bottomLeft"/>
      <selection pane="bottomRight" activeCell="I21" sqref="I21"/>
    </sheetView>
  </sheetViews>
  <sheetFormatPr defaultRowHeight="13.5"/>
  <cols>
    <col min="1" max="1" width="5" customWidth="1"/>
    <col min="2" max="2" width="30.25" customWidth="1"/>
    <col min="3" max="3" width="18" customWidth="1"/>
    <col min="4" max="4" width="20" customWidth="1"/>
    <col min="5" max="6" width="11" customWidth="1"/>
    <col min="7" max="7" width="7" customWidth="1"/>
    <col min="8" max="8" width="27" customWidth="1"/>
    <col min="9" max="9" width="16" customWidth="1"/>
    <col min="10" max="10" width="3" customWidth="1"/>
    <col min="11" max="34" width="3.5" customWidth="1"/>
  </cols>
  <sheetData>
    <row r="1" spans="1: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28.0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23" customHeight="1">
      <c r="A3" s="1"/>
      <c r="B3" s="1"/>
      <c r="C3" s="1"/>
      <c r="D3" s="27" t="s">
        <v>65</v>
      </c>
      <c r="E3" s="28"/>
      <c r="F3" s="2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2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23" customHeight="1">
      <c r="A5" s="29" t="s">
        <v>0</v>
      </c>
      <c r="B5" s="29"/>
      <c r="C5" s="29"/>
      <c r="D5" s="29"/>
      <c r="E5" s="29"/>
      <c r="F5" s="1"/>
      <c r="G5" s="1"/>
      <c r="H5" s="1"/>
      <c r="I5" s="1"/>
      <c r="J5" s="1"/>
      <c r="K5" s="42" t="s">
        <v>1</v>
      </c>
      <c r="L5" s="43"/>
      <c r="M5" s="43"/>
      <c r="N5" s="43"/>
      <c r="O5" s="43"/>
      <c r="P5" s="43"/>
      <c r="Q5" s="43"/>
      <c r="R5" s="44"/>
      <c r="S5" s="42" t="s">
        <v>2</v>
      </c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4"/>
      <c r="AI5" s="1"/>
    </row>
    <row r="6" spans="1:35" ht="30" customHeight="1">
      <c r="A6" s="24" t="s">
        <v>3</v>
      </c>
      <c r="B6" s="24" t="s">
        <v>4</v>
      </c>
      <c r="C6" s="24" t="s">
        <v>5</v>
      </c>
      <c r="D6" s="24" t="s">
        <v>6</v>
      </c>
      <c r="E6" s="24" t="s">
        <v>7</v>
      </c>
      <c r="F6" s="24" t="s">
        <v>8</v>
      </c>
      <c r="G6" s="24" t="s">
        <v>9</v>
      </c>
      <c r="H6" s="24" t="s">
        <v>10</v>
      </c>
      <c r="I6" s="25" t="s">
        <v>11</v>
      </c>
      <c r="J6" s="23"/>
      <c r="K6" s="26">
        <v>46288</v>
      </c>
      <c r="L6" s="26">
        <v>46289</v>
      </c>
      <c r="M6" s="26">
        <v>46290</v>
      </c>
      <c r="N6" s="26">
        <v>46291</v>
      </c>
      <c r="O6" s="26">
        <v>46292</v>
      </c>
      <c r="P6" s="26">
        <v>46293</v>
      </c>
      <c r="Q6" s="26">
        <v>46294</v>
      </c>
      <c r="R6" s="26">
        <v>46295</v>
      </c>
      <c r="S6" s="26">
        <v>46296</v>
      </c>
      <c r="T6" s="26">
        <v>46297</v>
      </c>
      <c r="U6" s="26">
        <v>46298</v>
      </c>
      <c r="V6" s="26">
        <v>46299</v>
      </c>
      <c r="W6" s="26">
        <v>46300</v>
      </c>
      <c r="X6" s="26">
        <v>46301</v>
      </c>
      <c r="Y6" s="26">
        <v>46302</v>
      </c>
      <c r="Z6" s="26">
        <v>46303</v>
      </c>
      <c r="AA6" s="26">
        <v>46304</v>
      </c>
      <c r="AB6" s="26">
        <v>46305</v>
      </c>
      <c r="AC6" s="26">
        <v>46306</v>
      </c>
      <c r="AD6" s="26">
        <v>46307</v>
      </c>
      <c r="AE6" s="26">
        <v>46308</v>
      </c>
      <c r="AF6" s="26">
        <v>46309</v>
      </c>
      <c r="AG6" s="26">
        <v>46310</v>
      </c>
      <c r="AH6" s="26">
        <v>46311</v>
      </c>
      <c r="AI6" s="1"/>
    </row>
    <row r="7" spans="1:35" ht="38" customHeight="1">
      <c r="A7" s="2" t="s">
        <v>12</v>
      </c>
      <c r="B7" s="3" t="s">
        <v>13</v>
      </c>
      <c r="C7" s="4" t="s">
        <v>14</v>
      </c>
      <c r="D7" s="4" t="s">
        <v>15</v>
      </c>
      <c r="E7" s="5">
        <v>46292</v>
      </c>
      <c r="F7" s="5">
        <v>46293</v>
      </c>
      <c r="G7" s="6">
        <f t="shared" ref="G7:G21" si="0">F7-E7+1</f>
        <v>2</v>
      </c>
      <c r="H7" s="4" t="s">
        <v>16</v>
      </c>
      <c r="I7" s="19" t="s">
        <v>64</v>
      </c>
      <c r="J7" s="20"/>
      <c r="K7" s="21">
        <f t="shared" ref="K7:T21" si="1">IF(AND(K$6&gt;=$E7,K$6&lt;=$F7),1,0)</f>
        <v>0</v>
      </c>
      <c r="L7" s="21">
        <f t="shared" si="1"/>
        <v>0</v>
      </c>
      <c r="M7" s="21">
        <f t="shared" si="1"/>
        <v>0</v>
      </c>
      <c r="N7" s="22">
        <f t="shared" si="1"/>
        <v>0</v>
      </c>
      <c r="O7" s="45">
        <f t="shared" si="1"/>
        <v>1</v>
      </c>
      <c r="P7" s="46"/>
      <c r="Q7" s="21">
        <f t="shared" si="1"/>
        <v>0</v>
      </c>
      <c r="R7" s="21">
        <f t="shared" si="1"/>
        <v>0</v>
      </c>
      <c r="S7" s="21">
        <f t="shared" si="1"/>
        <v>0</v>
      </c>
      <c r="T7" s="21">
        <f t="shared" si="1"/>
        <v>0</v>
      </c>
      <c r="U7" s="22">
        <f t="shared" ref="U7:AH21" si="2">IF(AND(U$6&gt;=$E7,U$6&lt;=$F7),1,0)</f>
        <v>0</v>
      </c>
      <c r="V7" s="22">
        <f t="shared" si="2"/>
        <v>0</v>
      </c>
      <c r="W7" s="21">
        <f t="shared" si="2"/>
        <v>0</v>
      </c>
      <c r="X7" s="21">
        <f t="shared" si="2"/>
        <v>0</v>
      </c>
      <c r="Y7" s="21">
        <f t="shared" si="2"/>
        <v>0</v>
      </c>
      <c r="Z7" s="21">
        <f t="shared" si="2"/>
        <v>0</v>
      </c>
      <c r="AA7" s="21">
        <f t="shared" si="2"/>
        <v>0</v>
      </c>
      <c r="AB7" s="22">
        <f t="shared" si="2"/>
        <v>0</v>
      </c>
      <c r="AC7" s="22">
        <f t="shared" si="2"/>
        <v>0</v>
      </c>
      <c r="AD7" s="21">
        <f t="shared" si="2"/>
        <v>0</v>
      </c>
      <c r="AE7" s="21">
        <f t="shared" si="2"/>
        <v>0</v>
      </c>
      <c r="AF7" s="21">
        <f t="shared" si="2"/>
        <v>0</v>
      </c>
      <c r="AG7" s="21">
        <f t="shared" si="2"/>
        <v>0</v>
      </c>
      <c r="AH7" s="21">
        <f t="shared" si="2"/>
        <v>0</v>
      </c>
      <c r="AI7" s="1"/>
    </row>
    <row r="8" spans="1:35" ht="38" customHeight="1">
      <c r="A8" s="7" t="s">
        <v>17</v>
      </c>
      <c r="B8" s="8" t="s">
        <v>18</v>
      </c>
      <c r="C8" s="9" t="s">
        <v>14</v>
      </c>
      <c r="D8" s="9" t="s">
        <v>15</v>
      </c>
      <c r="E8" s="5">
        <v>46292</v>
      </c>
      <c r="F8" s="5">
        <v>46293</v>
      </c>
      <c r="G8" s="10">
        <f t="shared" si="0"/>
        <v>2</v>
      </c>
      <c r="H8" s="9" t="s">
        <v>19</v>
      </c>
      <c r="I8" s="9" t="s">
        <v>64</v>
      </c>
      <c r="J8" s="1"/>
      <c r="K8" s="21">
        <f t="shared" si="1"/>
        <v>0</v>
      </c>
      <c r="L8" s="21">
        <f t="shared" si="1"/>
        <v>0</v>
      </c>
      <c r="M8" s="21">
        <f t="shared" si="1"/>
        <v>0</v>
      </c>
      <c r="N8" s="22">
        <f t="shared" si="1"/>
        <v>0</v>
      </c>
      <c r="O8" s="47"/>
      <c r="P8" s="48"/>
      <c r="Q8" s="21">
        <f t="shared" si="1"/>
        <v>0</v>
      </c>
      <c r="R8" s="21">
        <f t="shared" si="1"/>
        <v>0</v>
      </c>
      <c r="S8" s="21">
        <f t="shared" si="1"/>
        <v>0</v>
      </c>
      <c r="T8" s="21">
        <f t="shared" si="1"/>
        <v>0</v>
      </c>
      <c r="U8" s="22">
        <f t="shared" si="2"/>
        <v>0</v>
      </c>
      <c r="V8" s="22">
        <f t="shared" si="2"/>
        <v>0</v>
      </c>
      <c r="W8" s="21">
        <f t="shared" si="2"/>
        <v>0</v>
      </c>
      <c r="X8" s="21">
        <f t="shared" si="2"/>
        <v>0</v>
      </c>
      <c r="Y8" s="21">
        <f t="shared" si="2"/>
        <v>0</v>
      </c>
      <c r="Z8" s="21">
        <f t="shared" si="2"/>
        <v>0</v>
      </c>
      <c r="AA8" s="21">
        <f t="shared" si="2"/>
        <v>0</v>
      </c>
      <c r="AB8" s="22">
        <f t="shared" si="2"/>
        <v>0</v>
      </c>
      <c r="AC8" s="22">
        <f t="shared" si="2"/>
        <v>0</v>
      </c>
      <c r="AD8" s="21">
        <f t="shared" si="2"/>
        <v>0</v>
      </c>
      <c r="AE8" s="21">
        <f t="shared" si="2"/>
        <v>0</v>
      </c>
      <c r="AF8" s="21">
        <f t="shared" si="2"/>
        <v>0</v>
      </c>
      <c r="AG8" s="21">
        <f t="shared" si="2"/>
        <v>0</v>
      </c>
      <c r="AH8" s="21">
        <f t="shared" si="2"/>
        <v>0</v>
      </c>
      <c r="AI8" s="1"/>
    </row>
    <row r="9" spans="1:35" ht="38" customHeight="1">
      <c r="A9" s="2" t="s">
        <v>20</v>
      </c>
      <c r="B9" s="11" t="s">
        <v>21</v>
      </c>
      <c r="C9" s="4" t="s">
        <v>22</v>
      </c>
      <c r="D9" s="4" t="s">
        <v>23</v>
      </c>
      <c r="E9" s="5">
        <v>46293</v>
      </c>
      <c r="F9" s="5">
        <v>46296</v>
      </c>
      <c r="G9" s="6">
        <f t="shared" si="0"/>
        <v>4</v>
      </c>
      <c r="H9" s="4" t="s">
        <v>24</v>
      </c>
      <c r="I9" s="4" t="s">
        <v>64</v>
      </c>
      <c r="J9" s="1"/>
      <c r="K9" s="21">
        <f t="shared" si="1"/>
        <v>0</v>
      </c>
      <c r="L9" s="21">
        <f t="shared" si="1"/>
        <v>0</v>
      </c>
      <c r="M9" s="21">
        <f t="shared" si="1"/>
        <v>0</v>
      </c>
      <c r="N9" s="22">
        <f t="shared" si="1"/>
        <v>0</v>
      </c>
      <c r="O9" s="22">
        <f t="shared" si="1"/>
        <v>0</v>
      </c>
      <c r="P9" s="30">
        <f t="shared" si="1"/>
        <v>1</v>
      </c>
      <c r="Q9" s="31"/>
      <c r="R9" s="31"/>
      <c r="S9" s="32"/>
      <c r="T9" s="21">
        <f t="shared" si="1"/>
        <v>0</v>
      </c>
      <c r="U9" s="22">
        <f t="shared" si="2"/>
        <v>0</v>
      </c>
      <c r="V9" s="22">
        <f t="shared" si="2"/>
        <v>0</v>
      </c>
      <c r="W9" s="21">
        <f t="shared" si="2"/>
        <v>0</v>
      </c>
      <c r="X9" s="21">
        <f t="shared" si="2"/>
        <v>0</v>
      </c>
      <c r="Y9" s="21">
        <f t="shared" si="2"/>
        <v>0</v>
      </c>
      <c r="Z9" s="21">
        <f t="shared" si="2"/>
        <v>0</v>
      </c>
      <c r="AA9" s="21">
        <f t="shared" si="2"/>
        <v>0</v>
      </c>
      <c r="AB9" s="22">
        <f t="shared" si="2"/>
        <v>0</v>
      </c>
      <c r="AC9" s="22">
        <f t="shared" si="2"/>
        <v>0</v>
      </c>
      <c r="AD9" s="21">
        <f t="shared" si="2"/>
        <v>0</v>
      </c>
      <c r="AE9" s="21">
        <f t="shared" si="2"/>
        <v>0</v>
      </c>
      <c r="AF9" s="21">
        <f t="shared" si="2"/>
        <v>0</v>
      </c>
      <c r="AG9" s="21">
        <f t="shared" si="2"/>
        <v>0</v>
      </c>
      <c r="AH9" s="21">
        <f t="shared" si="2"/>
        <v>0</v>
      </c>
      <c r="AI9" s="1"/>
    </row>
    <row r="10" spans="1:35" ht="38" customHeight="1">
      <c r="A10" s="7" t="s">
        <v>25</v>
      </c>
      <c r="B10" s="8" t="s">
        <v>26</v>
      </c>
      <c r="C10" s="9" t="s">
        <v>14</v>
      </c>
      <c r="D10" s="9" t="s">
        <v>15</v>
      </c>
      <c r="E10" s="5">
        <v>46294</v>
      </c>
      <c r="F10" s="5">
        <v>46297</v>
      </c>
      <c r="G10" s="10">
        <f t="shared" si="0"/>
        <v>4</v>
      </c>
      <c r="H10" s="9" t="s">
        <v>27</v>
      </c>
      <c r="I10" s="9" t="s">
        <v>64</v>
      </c>
      <c r="J10" s="1"/>
      <c r="K10" s="21">
        <f t="shared" si="1"/>
        <v>0</v>
      </c>
      <c r="L10" s="21">
        <f t="shared" si="1"/>
        <v>0</v>
      </c>
      <c r="M10" s="21">
        <f t="shared" si="1"/>
        <v>0</v>
      </c>
      <c r="N10" s="22">
        <f t="shared" si="1"/>
        <v>0</v>
      </c>
      <c r="O10" s="22">
        <f t="shared" si="1"/>
        <v>0</v>
      </c>
      <c r="P10" s="21">
        <f t="shared" si="1"/>
        <v>0</v>
      </c>
      <c r="Q10" s="30">
        <f t="shared" si="1"/>
        <v>1</v>
      </c>
      <c r="R10" s="31"/>
      <c r="S10" s="31"/>
      <c r="T10" s="32"/>
      <c r="U10" s="22">
        <f t="shared" si="2"/>
        <v>0</v>
      </c>
      <c r="V10" s="22">
        <f t="shared" si="2"/>
        <v>0</v>
      </c>
      <c r="W10" s="21">
        <f t="shared" si="2"/>
        <v>0</v>
      </c>
      <c r="X10" s="21">
        <f t="shared" si="2"/>
        <v>0</v>
      </c>
      <c r="Y10" s="21">
        <f t="shared" si="2"/>
        <v>0</v>
      </c>
      <c r="Z10" s="21">
        <f t="shared" si="2"/>
        <v>0</v>
      </c>
      <c r="AA10" s="21">
        <f t="shared" si="2"/>
        <v>0</v>
      </c>
      <c r="AB10" s="22">
        <f t="shared" si="2"/>
        <v>0</v>
      </c>
      <c r="AC10" s="22">
        <f t="shared" si="2"/>
        <v>0</v>
      </c>
      <c r="AD10" s="21">
        <f t="shared" si="2"/>
        <v>0</v>
      </c>
      <c r="AE10" s="21">
        <f t="shared" si="2"/>
        <v>0</v>
      </c>
      <c r="AF10" s="21">
        <f t="shared" si="2"/>
        <v>0</v>
      </c>
      <c r="AG10" s="21">
        <f t="shared" si="2"/>
        <v>0</v>
      </c>
      <c r="AH10" s="21">
        <f t="shared" si="2"/>
        <v>0</v>
      </c>
      <c r="AI10" s="1"/>
    </row>
    <row r="11" spans="1:35" ht="38" customHeight="1">
      <c r="A11" s="2" t="s">
        <v>28</v>
      </c>
      <c r="B11" s="12" t="s">
        <v>29</v>
      </c>
      <c r="C11" s="4" t="s">
        <v>30</v>
      </c>
      <c r="D11" s="4" t="s">
        <v>15</v>
      </c>
      <c r="E11" s="5">
        <v>46294</v>
      </c>
      <c r="F11" s="5">
        <v>46297</v>
      </c>
      <c r="G11" s="6">
        <f t="shared" si="0"/>
        <v>4</v>
      </c>
      <c r="H11" s="4" t="s">
        <v>31</v>
      </c>
      <c r="I11" s="4" t="s">
        <v>64</v>
      </c>
      <c r="J11" s="1"/>
      <c r="K11" s="21">
        <f t="shared" si="1"/>
        <v>0</v>
      </c>
      <c r="L11" s="21">
        <f t="shared" si="1"/>
        <v>0</v>
      </c>
      <c r="M11" s="21">
        <f t="shared" si="1"/>
        <v>0</v>
      </c>
      <c r="N11" s="22">
        <f t="shared" si="1"/>
        <v>0</v>
      </c>
      <c r="O11" s="22">
        <f t="shared" si="1"/>
        <v>0</v>
      </c>
      <c r="P11" s="21">
        <f t="shared" si="1"/>
        <v>0</v>
      </c>
      <c r="Q11" s="30">
        <f t="shared" si="1"/>
        <v>1</v>
      </c>
      <c r="R11" s="31"/>
      <c r="S11" s="31"/>
      <c r="T11" s="32"/>
      <c r="U11" s="22">
        <f t="shared" si="2"/>
        <v>0</v>
      </c>
      <c r="V11" s="22">
        <f t="shared" si="2"/>
        <v>0</v>
      </c>
      <c r="W11" s="21">
        <f t="shared" si="2"/>
        <v>0</v>
      </c>
      <c r="X11" s="21">
        <f t="shared" si="2"/>
        <v>0</v>
      </c>
      <c r="Y11" s="21">
        <f t="shared" si="2"/>
        <v>0</v>
      </c>
      <c r="Z11" s="21">
        <f t="shared" si="2"/>
        <v>0</v>
      </c>
      <c r="AA11" s="21">
        <f t="shared" si="2"/>
        <v>0</v>
      </c>
      <c r="AB11" s="22">
        <f t="shared" si="2"/>
        <v>0</v>
      </c>
      <c r="AC11" s="22">
        <f t="shared" si="2"/>
        <v>0</v>
      </c>
      <c r="AD11" s="21">
        <f t="shared" si="2"/>
        <v>0</v>
      </c>
      <c r="AE11" s="21">
        <f t="shared" si="2"/>
        <v>0</v>
      </c>
      <c r="AF11" s="21">
        <f t="shared" si="2"/>
        <v>0</v>
      </c>
      <c r="AG11" s="21">
        <f t="shared" si="2"/>
        <v>0</v>
      </c>
      <c r="AH11" s="21">
        <f t="shared" si="2"/>
        <v>0</v>
      </c>
      <c r="AI11" s="1"/>
    </row>
    <row r="12" spans="1:35" ht="38" customHeight="1">
      <c r="A12" s="7" t="s">
        <v>32</v>
      </c>
      <c r="B12" s="13" t="s">
        <v>33</v>
      </c>
      <c r="C12" s="9" t="s">
        <v>22</v>
      </c>
      <c r="D12" s="9" t="s">
        <v>23</v>
      </c>
      <c r="E12" s="5">
        <v>46297</v>
      </c>
      <c r="F12" s="5">
        <v>46301</v>
      </c>
      <c r="G12" s="10">
        <f t="shared" si="0"/>
        <v>5</v>
      </c>
      <c r="H12" s="9" t="s">
        <v>34</v>
      </c>
      <c r="I12" s="9" t="s">
        <v>64</v>
      </c>
      <c r="J12" s="1"/>
      <c r="K12" s="21">
        <f t="shared" si="1"/>
        <v>0</v>
      </c>
      <c r="L12" s="21">
        <f t="shared" si="1"/>
        <v>0</v>
      </c>
      <c r="M12" s="21">
        <f t="shared" si="1"/>
        <v>0</v>
      </c>
      <c r="N12" s="22">
        <f t="shared" si="1"/>
        <v>0</v>
      </c>
      <c r="O12" s="22">
        <f t="shared" si="1"/>
        <v>0</v>
      </c>
      <c r="P12" s="21">
        <f t="shared" si="1"/>
        <v>0</v>
      </c>
      <c r="Q12" s="21">
        <f t="shared" si="1"/>
        <v>0</v>
      </c>
      <c r="R12" s="21">
        <f t="shared" si="1"/>
        <v>0</v>
      </c>
      <c r="S12" s="21">
        <f t="shared" si="1"/>
        <v>0</v>
      </c>
      <c r="T12" s="30">
        <f t="shared" si="1"/>
        <v>1</v>
      </c>
      <c r="U12" s="31"/>
      <c r="V12" s="31"/>
      <c r="W12" s="31"/>
      <c r="X12" s="32"/>
      <c r="Y12" s="21">
        <f t="shared" si="2"/>
        <v>0</v>
      </c>
      <c r="Z12" s="21">
        <f t="shared" si="2"/>
        <v>0</v>
      </c>
      <c r="AA12" s="21">
        <f t="shared" si="2"/>
        <v>0</v>
      </c>
      <c r="AB12" s="22">
        <f t="shared" si="2"/>
        <v>0</v>
      </c>
      <c r="AC12" s="22">
        <f t="shared" si="2"/>
        <v>0</v>
      </c>
      <c r="AD12" s="21">
        <f t="shared" si="2"/>
        <v>0</v>
      </c>
      <c r="AE12" s="21">
        <f t="shared" si="2"/>
        <v>0</v>
      </c>
      <c r="AF12" s="21">
        <f t="shared" si="2"/>
        <v>0</v>
      </c>
      <c r="AG12" s="21">
        <f t="shared" si="2"/>
        <v>0</v>
      </c>
      <c r="AH12" s="21">
        <f t="shared" si="2"/>
        <v>0</v>
      </c>
      <c r="AI12" s="1"/>
    </row>
    <row r="13" spans="1:35" ht="38" customHeight="1">
      <c r="A13" s="2" t="s">
        <v>35</v>
      </c>
      <c r="B13" s="12" t="s">
        <v>36</v>
      </c>
      <c r="C13" s="4" t="s">
        <v>37</v>
      </c>
      <c r="D13" s="4" t="s">
        <v>23</v>
      </c>
      <c r="E13" s="5">
        <v>46297</v>
      </c>
      <c r="F13" s="5">
        <v>46301</v>
      </c>
      <c r="G13" s="6">
        <f t="shared" si="0"/>
        <v>5</v>
      </c>
      <c r="H13" s="4" t="s">
        <v>38</v>
      </c>
      <c r="I13" s="4" t="s">
        <v>64</v>
      </c>
      <c r="J13" s="1"/>
      <c r="K13" s="21">
        <f t="shared" si="1"/>
        <v>0</v>
      </c>
      <c r="L13" s="21">
        <f t="shared" si="1"/>
        <v>0</v>
      </c>
      <c r="M13" s="21">
        <f t="shared" si="1"/>
        <v>0</v>
      </c>
      <c r="N13" s="22">
        <f t="shared" si="1"/>
        <v>0</v>
      </c>
      <c r="O13" s="22">
        <f t="shared" si="1"/>
        <v>0</v>
      </c>
      <c r="P13" s="21">
        <f t="shared" si="1"/>
        <v>0</v>
      </c>
      <c r="Q13" s="21">
        <f t="shared" si="1"/>
        <v>0</v>
      </c>
      <c r="R13" s="21">
        <f t="shared" si="1"/>
        <v>0</v>
      </c>
      <c r="S13" s="21">
        <f t="shared" si="1"/>
        <v>0</v>
      </c>
      <c r="T13" s="33">
        <f t="shared" si="1"/>
        <v>1</v>
      </c>
      <c r="U13" s="34"/>
      <c r="V13" s="34"/>
      <c r="W13" s="34"/>
      <c r="X13" s="35"/>
      <c r="Y13" s="21">
        <f t="shared" si="2"/>
        <v>0</v>
      </c>
      <c r="Z13" s="21">
        <f t="shared" si="2"/>
        <v>0</v>
      </c>
      <c r="AA13" s="21">
        <f t="shared" si="2"/>
        <v>0</v>
      </c>
      <c r="AB13" s="22">
        <f t="shared" si="2"/>
        <v>0</v>
      </c>
      <c r="AC13" s="22">
        <f t="shared" si="2"/>
        <v>0</v>
      </c>
      <c r="AD13" s="21">
        <f t="shared" si="2"/>
        <v>0</v>
      </c>
      <c r="AE13" s="21">
        <f t="shared" si="2"/>
        <v>0</v>
      </c>
      <c r="AF13" s="21">
        <f t="shared" si="2"/>
        <v>0</v>
      </c>
      <c r="AG13" s="21">
        <f t="shared" si="2"/>
        <v>0</v>
      </c>
      <c r="AH13" s="21">
        <f t="shared" si="2"/>
        <v>0</v>
      </c>
      <c r="AI13" s="1"/>
    </row>
    <row r="14" spans="1:35" ht="38" customHeight="1">
      <c r="A14" s="7" t="s">
        <v>39</v>
      </c>
      <c r="B14" s="14" t="s">
        <v>40</v>
      </c>
      <c r="C14" s="9" t="s">
        <v>37</v>
      </c>
      <c r="D14" s="9" t="s">
        <v>14</v>
      </c>
      <c r="E14" s="5">
        <v>46297</v>
      </c>
      <c r="F14" s="5">
        <v>46301</v>
      </c>
      <c r="G14" s="10">
        <f t="shared" si="0"/>
        <v>5</v>
      </c>
      <c r="H14" s="9" t="s">
        <v>38</v>
      </c>
      <c r="I14" s="9" t="s">
        <v>64</v>
      </c>
      <c r="J14" s="1"/>
      <c r="K14" s="21">
        <f t="shared" si="1"/>
        <v>0</v>
      </c>
      <c r="L14" s="21">
        <f t="shared" si="1"/>
        <v>0</v>
      </c>
      <c r="M14" s="21">
        <f t="shared" si="1"/>
        <v>0</v>
      </c>
      <c r="N14" s="22">
        <f t="shared" si="1"/>
        <v>0</v>
      </c>
      <c r="O14" s="22">
        <f t="shared" si="1"/>
        <v>0</v>
      </c>
      <c r="P14" s="21">
        <f t="shared" si="1"/>
        <v>0</v>
      </c>
      <c r="Q14" s="21">
        <f t="shared" si="1"/>
        <v>0</v>
      </c>
      <c r="R14" s="21">
        <f t="shared" si="1"/>
        <v>0</v>
      </c>
      <c r="S14" s="21">
        <f t="shared" si="1"/>
        <v>0</v>
      </c>
      <c r="T14" s="36"/>
      <c r="U14" s="37"/>
      <c r="V14" s="37"/>
      <c r="W14" s="37"/>
      <c r="X14" s="38"/>
      <c r="Y14" s="21">
        <f t="shared" si="2"/>
        <v>0</v>
      </c>
      <c r="Z14" s="21">
        <f t="shared" si="2"/>
        <v>0</v>
      </c>
      <c r="AA14" s="21">
        <f t="shared" si="2"/>
        <v>0</v>
      </c>
      <c r="AB14" s="22">
        <f t="shared" si="2"/>
        <v>0</v>
      </c>
      <c r="AC14" s="22">
        <f t="shared" si="2"/>
        <v>0</v>
      </c>
      <c r="AD14" s="21">
        <f t="shared" si="2"/>
        <v>0</v>
      </c>
      <c r="AE14" s="21">
        <f t="shared" si="2"/>
        <v>0</v>
      </c>
      <c r="AF14" s="21">
        <f t="shared" si="2"/>
        <v>0</v>
      </c>
      <c r="AG14" s="21">
        <f t="shared" si="2"/>
        <v>0</v>
      </c>
      <c r="AH14" s="21">
        <f t="shared" si="2"/>
        <v>0</v>
      </c>
      <c r="AI14" s="1"/>
    </row>
    <row r="15" spans="1:35" ht="38" customHeight="1">
      <c r="A15" s="2" t="s">
        <v>41</v>
      </c>
      <c r="B15" s="15" t="s">
        <v>42</v>
      </c>
      <c r="C15" s="4" t="s">
        <v>15</v>
      </c>
      <c r="D15" s="4" t="s">
        <v>15</v>
      </c>
      <c r="E15" s="5">
        <v>46301</v>
      </c>
      <c r="F15" s="5">
        <v>46301</v>
      </c>
      <c r="G15" s="6">
        <f t="shared" si="0"/>
        <v>1</v>
      </c>
      <c r="H15" s="4" t="s">
        <v>43</v>
      </c>
      <c r="I15" s="4" t="s">
        <v>67</v>
      </c>
      <c r="J15" s="1"/>
      <c r="K15" s="21">
        <f t="shared" si="1"/>
        <v>0</v>
      </c>
      <c r="L15" s="21">
        <f t="shared" si="1"/>
        <v>0</v>
      </c>
      <c r="M15" s="21">
        <f t="shared" si="1"/>
        <v>0</v>
      </c>
      <c r="N15" s="22">
        <f t="shared" si="1"/>
        <v>0</v>
      </c>
      <c r="O15" s="22">
        <f t="shared" si="1"/>
        <v>0</v>
      </c>
      <c r="P15" s="21">
        <f t="shared" si="1"/>
        <v>0</v>
      </c>
      <c r="Q15" s="21">
        <f t="shared" si="1"/>
        <v>0</v>
      </c>
      <c r="R15" s="21">
        <f t="shared" si="1"/>
        <v>0</v>
      </c>
      <c r="S15" s="21">
        <f t="shared" si="1"/>
        <v>0</v>
      </c>
      <c r="T15" s="21">
        <f t="shared" si="1"/>
        <v>0</v>
      </c>
      <c r="U15" s="22">
        <f t="shared" si="2"/>
        <v>0</v>
      </c>
      <c r="V15" s="22">
        <f t="shared" si="2"/>
        <v>0</v>
      </c>
      <c r="W15" s="21">
        <f t="shared" si="2"/>
        <v>0</v>
      </c>
      <c r="X15" s="21">
        <f t="shared" si="2"/>
        <v>1</v>
      </c>
      <c r="Y15" s="21">
        <f t="shared" si="2"/>
        <v>0</v>
      </c>
      <c r="Z15" s="21">
        <f t="shared" si="2"/>
        <v>0</v>
      </c>
      <c r="AA15" s="21">
        <f t="shared" si="2"/>
        <v>0</v>
      </c>
      <c r="AB15" s="22">
        <f t="shared" si="2"/>
        <v>0</v>
      </c>
      <c r="AC15" s="22">
        <f t="shared" si="2"/>
        <v>0</v>
      </c>
      <c r="AD15" s="21">
        <f t="shared" si="2"/>
        <v>0</v>
      </c>
      <c r="AE15" s="21">
        <f t="shared" si="2"/>
        <v>0</v>
      </c>
      <c r="AF15" s="21">
        <f t="shared" si="2"/>
        <v>0</v>
      </c>
      <c r="AG15" s="21">
        <f t="shared" si="2"/>
        <v>0</v>
      </c>
      <c r="AH15" s="21">
        <f t="shared" si="2"/>
        <v>0</v>
      </c>
      <c r="AI15" s="1"/>
    </row>
    <row r="16" spans="1:35" ht="38" customHeight="1">
      <c r="A16" s="7" t="s">
        <v>44</v>
      </c>
      <c r="B16" s="16" t="s">
        <v>45</v>
      </c>
      <c r="C16" s="9" t="s">
        <v>23</v>
      </c>
      <c r="D16" s="9" t="s">
        <v>46</v>
      </c>
      <c r="E16" s="5">
        <v>46302</v>
      </c>
      <c r="F16" s="5">
        <v>46306</v>
      </c>
      <c r="G16" s="10">
        <f t="shared" si="0"/>
        <v>5</v>
      </c>
      <c r="H16" s="9" t="s">
        <v>47</v>
      </c>
      <c r="I16" s="9" t="s">
        <v>64</v>
      </c>
      <c r="J16" s="1"/>
      <c r="K16" s="21">
        <f t="shared" si="1"/>
        <v>0</v>
      </c>
      <c r="L16" s="21">
        <f t="shared" si="1"/>
        <v>0</v>
      </c>
      <c r="M16" s="21">
        <f t="shared" si="1"/>
        <v>0</v>
      </c>
      <c r="N16" s="22">
        <f t="shared" si="1"/>
        <v>0</v>
      </c>
      <c r="O16" s="22">
        <f t="shared" si="1"/>
        <v>0</v>
      </c>
      <c r="P16" s="21">
        <f t="shared" si="1"/>
        <v>0</v>
      </c>
      <c r="Q16" s="21">
        <f t="shared" si="1"/>
        <v>0</v>
      </c>
      <c r="R16" s="21">
        <f t="shared" si="1"/>
        <v>0</v>
      </c>
      <c r="S16" s="21">
        <f t="shared" si="1"/>
        <v>0</v>
      </c>
      <c r="T16" s="21">
        <f t="shared" si="1"/>
        <v>0</v>
      </c>
      <c r="U16" s="22">
        <f t="shared" si="2"/>
        <v>0</v>
      </c>
      <c r="V16" s="22">
        <f t="shared" si="2"/>
        <v>0</v>
      </c>
      <c r="W16" s="21">
        <f t="shared" si="2"/>
        <v>0</v>
      </c>
      <c r="X16" s="21">
        <f t="shared" si="2"/>
        <v>0</v>
      </c>
      <c r="Y16" s="30">
        <f t="shared" si="2"/>
        <v>1</v>
      </c>
      <c r="Z16" s="31"/>
      <c r="AA16" s="31"/>
      <c r="AB16" s="31"/>
      <c r="AC16" s="32"/>
      <c r="AD16" s="21">
        <f t="shared" si="2"/>
        <v>0</v>
      </c>
      <c r="AE16" s="21">
        <f t="shared" si="2"/>
        <v>0</v>
      </c>
      <c r="AF16" s="21">
        <f t="shared" si="2"/>
        <v>0</v>
      </c>
      <c r="AG16" s="21">
        <f t="shared" si="2"/>
        <v>0</v>
      </c>
      <c r="AH16" s="21">
        <f t="shared" si="2"/>
        <v>0</v>
      </c>
      <c r="AI16" s="1"/>
    </row>
    <row r="17" spans="1:35" ht="38" customHeight="1">
      <c r="A17" s="2" t="s">
        <v>48</v>
      </c>
      <c r="B17" s="12" t="s">
        <v>49</v>
      </c>
      <c r="C17" s="4" t="s">
        <v>37</v>
      </c>
      <c r="D17" s="4" t="s">
        <v>23</v>
      </c>
      <c r="E17" s="5">
        <v>46302</v>
      </c>
      <c r="F17" s="5">
        <v>46306</v>
      </c>
      <c r="G17" s="6">
        <f t="shared" si="0"/>
        <v>5</v>
      </c>
      <c r="H17" s="4" t="s">
        <v>47</v>
      </c>
      <c r="I17" s="4" t="s">
        <v>67</v>
      </c>
      <c r="J17" s="1"/>
      <c r="K17" s="21">
        <f t="shared" si="1"/>
        <v>0</v>
      </c>
      <c r="L17" s="21">
        <f t="shared" si="1"/>
        <v>0</v>
      </c>
      <c r="M17" s="21">
        <f t="shared" si="1"/>
        <v>0</v>
      </c>
      <c r="N17" s="22">
        <f t="shared" si="1"/>
        <v>0</v>
      </c>
      <c r="O17" s="22">
        <f t="shared" si="1"/>
        <v>0</v>
      </c>
      <c r="P17" s="21">
        <f t="shared" si="1"/>
        <v>0</v>
      </c>
      <c r="Q17" s="21">
        <f t="shared" si="1"/>
        <v>0</v>
      </c>
      <c r="R17" s="21">
        <f t="shared" si="1"/>
        <v>0</v>
      </c>
      <c r="S17" s="21">
        <f t="shared" si="1"/>
        <v>0</v>
      </c>
      <c r="T17" s="21">
        <f t="shared" si="1"/>
        <v>0</v>
      </c>
      <c r="U17" s="22">
        <f t="shared" si="2"/>
        <v>0</v>
      </c>
      <c r="V17" s="22">
        <f t="shared" si="2"/>
        <v>0</v>
      </c>
      <c r="W17" s="21">
        <f t="shared" si="2"/>
        <v>0</v>
      </c>
      <c r="X17" s="21">
        <f t="shared" si="2"/>
        <v>0</v>
      </c>
      <c r="Y17" s="30">
        <f t="shared" si="2"/>
        <v>1</v>
      </c>
      <c r="Z17" s="31"/>
      <c r="AA17" s="31"/>
      <c r="AB17" s="31"/>
      <c r="AC17" s="32"/>
      <c r="AD17" s="21">
        <f t="shared" si="2"/>
        <v>0</v>
      </c>
      <c r="AE17" s="21">
        <f t="shared" si="2"/>
        <v>0</v>
      </c>
      <c r="AF17" s="21">
        <f t="shared" si="2"/>
        <v>0</v>
      </c>
      <c r="AG17" s="21">
        <f t="shared" si="2"/>
        <v>0</v>
      </c>
      <c r="AH17" s="21">
        <f t="shared" si="2"/>
        <v>0</v>
      </c>
      <c r="AI17" s="1"/>
    </row>
    <row r="18" spans="1:35" ht="38" customHeight="1">
      <c r="A18" s="7" t="s">
        <v>50</v>
      </c>
      <c r="B18" s="17" t="s">
        <v>51</v>
      </c>
      <c r="C18" s="9" t="s">
        <v>52</v>
      </c>
      <c r="D18" s="9" t="s">
        <v>15</v>
      </c>
      <c r="E18" s="5">
        <v>46306</v>
      </c>
      <c r="F18" s="5">
        <v>46308</v>
      </c>
      <c r="G18" s="10">
        <f t="shared" si="0"/>
        <v>3</v>
      </c>
      <c r="H18" s="9" t="s">
        <v>53</v>
      </c>
      <c r="I18" s="9" t="s">
        <v>67</v>
      </c>
      <c r="J18" s="1"/>
      <c r="K18" s="21">
        <f t="shared" si="1"/>
        <v>0</v>
      </c>
      <c r="L18" s="21">
        <f t="shared" si="1"/>
        <v>0</v>
      </c>
      <c r="M18" s="21">
        <f t="shared" si="1"/>
        <v>0</v>
      </c>
      <c r="N18" s="22">
        <f t="shared" si="1"/>
        <v>0</v>
      </c>
      <c r="O18" s="22">
        <f t="shared" si="1"/>
        <v>0</v>
      </c>
      <c r="P18" s="21">
        <f t="shared" si="1"/>
        <v>0</v>
      </c>
      <c r="Q18" s="21">
        <f t="shared" si="1"/>
        <v>0</v>
      </c>
      <c r="R18" s="21">
        <f t="shared" si="1"/>
        <v>0</v>
      </c>
      <c r="S18" s="21">
        <f t="shared" si="1"/>
        <v>0</v>
      </c>
      <c r="T18" s="21">
        <f t="shared" si="1"/>
        <v>0</v>
      </c>
      <c r="U18" s="22">
        <f t="shared" si="2"/>
        <v>0</v>
      </c>
      <c r="V18" s="22">
        <f t="shared" si="2"/>
        <v>0</v>
      </c>
      <c r="W18" s="21">
        <f t="shared" si="2"/>
        <v>0</v>
      </c>
      <c r="X18" s="21">
        <f t="shared" si="2"/>
        <v>0</v>
      </c>
      <c r="Y18" s="21">
        <f t="shared" si="2"/>
        <v>0</v>
      </c>
      <c r="Z18" s="21">
        <f t="shared" si="2"/>
        <v>0</v>
      </c>
      <c r="AA18" s="21">
        <f t="shared" si="2"/>
        <v>0</v>
      </c>
      <c r="AB18" s="22">
        <f t="shared" si="2"/>
        <v>0</v>
      </c>
      <c r="AC18" s="39">
        <f t="shared" si="2"/>
        <v>1</v>
      </c>
      <c r="AD18" s="40"/>
      <c r="AE18" s="41"/>
      <c r="AF18" s="21">
        <f t="shared" si="2"/>
        <v>0</v>
      </c>
      <c r="AG18" s="21">
        <f t="shared" si="2"/>
        <v>0</v>
      </c>
      <c r="AH18" s="21">
        <f t="shared" si="2"/>
        <v>0</v>
      </c>
      <c r="AI18" s="1"/>
    </row>
    <row r="19" spans="1:35" ht="38" customHeight="1">
      <c r="A19" s="2" t="s">
        <v>54</v>
      </c>
      <c r="B19" s="15" t="s">
        <v>55</v>
      </c>
      <c r="C19" s="4" t="s">
        <v>15</v>
      </c>
      <c r="D19" s="4" t="s">
        <v>15</v>
      </c>
      <c r="E19" s="5">
        <v>46308</v>
      </c>
      <c r="F19" s="5">
        <v>46309</v>
      </c>
      <c r="G19" s="6">
        <f t="shared" si="0"/>
        <v>2</v>
      </c>
      <c r="H19" s="4" t="s">
        <v>56</v>
      </c>
      <c r="I19" s="4" t="s">
        <v>68</v>
      </c>
      <c r="J19" s="1"/>
      <c r="K19" s="21">
        <f t="shared" si="1"/>
        <v>0</v>
      </c>
      <c r="L19" s="21">
        <f t="shared" si="1"/>
        <v>0</v>
      </c>
      <c r="M19" s="21">
        <f t="shared" si="1"/>
        <v>0</v>
      </c>
      <c r="N19" s="22">
        <f t="shared" si="1"/>
        <v>0</v>
      </c>
      <c r="O19" s="22">
        <f t="shared" si="1"/>
        <v>0</v>
      </c>
      <c r="P19" s="21">
        <f t="shared" si="1"/>
        <v>0</v>
      </c>
      <c r="Q19" s="21">
        <f t="shared" si="1"/>
        <v>0</v>
      </c>
      <c r="R19" s="21">
        <f t="shared" si="1"/>
        <v>0</v>
      </c>
      <c r="S19" s="21">
        <f t="shared" si="1"/>
        <v>0</v>
      </c>
      <c r="T19" s="21">
        <f t="shared" si="1"/>
        <v>0</v>
      </c>
      <c r="U19" s="22">
        <f t="shared" si="2"/>
        <v>0</v>
      </c>
      <c r="V19" s="22">
        <f t="shared" si="2"/>
        <v>0</v>
      </c>
      <c r="W19" s="21">
        <f t="shared" si="2"/>
        <v>0</v>
      </c>
      <c r="X19" s="21">
        <f t="shared" si="2"/>
        <v>0</v>
      </c>
      <c r="Y19" s="21">
        <f t="shared" si="2"/>
        <v>0</v>
      </c>
      <c r="Z19" s="21">
        <f t="shared" si="2"/>
        <v>0</v>
      </c>
      <c r="AA19" s="21">
        <f t="shared" si="2"/>
        <v>0</v>
      </c>
      <c r="AB19" s="22">
        <f t="shared" si="2"/>
        <v>0</v>
      </c>
      <c r="AC19" s="22">
        <f t="shared" si="2"/>
        <v>0</v>
      </c>
      <c r="AD19" s="21">
        <f t="shared" si="2"/>
        <v>0</v>
      </c>
      <c r="AE19" s="30">
        <f t="shared" si="2"/>
        <v>1</v>
      </c>
      <c r="AF19" s="32"/>
      <c r="AG19" s="21">
        <f t="shared" si="2"/>
        <v>0</v>
      </c>
      <c r="AH19" s="21">
        <f t="shared" si="2"/>
        <v>0</v>
      </c>
      <c r="AI19" s="1"/>
    </row>
    <row r="20" spans="1:35" ht="38" customHeight="1">
      <c r="A20" s="7" t="s">
        <v>57</v>
      </c>
      <c r="B20" s="8" t="s">
        <v>58</v>
      </c>
      <c r="C20" s="9" t="s">
        <v>14</v>
      </c>
      <c r="D20" s="9" t="s">
        <v>15</v>
      </c>
      <c r="E20" s="5">
        <v>46310</v>
      </c>
      <c r="F20" s="5">
        <v>46310</v>
      </c>
      <c r="G20" s="10">
        <f t="shared" si="0"/>
        <v>1</v>
      </c>
      <c r="H20" s="9" t="s">
        <v>59</v>
      </c>
      <c r="I20" s="9" t="s">
        <v>68</v>
      </c>
      <c r="J20" s="1"/>
      <c r="K20" s="21">
        <f t="shared" si="1"/>
        <v>0</v>
      </c>
      <c r="L20" s="21">
        <f t="shared" si="1"/>
        <v>0</v>
      </c>
      <c r="M20" s="21">
        <f t="shared" si="1"/>
        <v>0</v>
      </c>
      <c r="N20" s="22">
        <f t="shared" si="1"/>
        <v>0</v>
      </c>
      <c r="O20" s="22">
        <f t="shared" si="1"/>
        <v>0</v>
      </c>
      <c r="P20" s="21">
        <f t="shared" si="1"/>
        <v>0</v>
      </c>
      <c r="Q20" s="21">
        <f t="shared" si="1"/>
        <v>0</v>
      </c>
      <c r="R20" s="21">
        <f t="shared" si="1"/>
        <v>0</v>
      </c>
      <c r="S20" s="21">
        <f t="shared" si="1"/>
        <v>0</v>
      </c>
      <c r="T20" s="21">
        <f t="shared" si="1"/>
        <v>0</v>
      </c>
      <c r="U20" s="22">
        <f t="shared" si="2"/>
        <v>0</v>
      </c>
      <c r="V20" s="22">
        <f t="shared" si="2"/>
        <v>0</v>
      </c>
      <c r="W20" s="21">
        <f t="shared" si="2"/>
        <v>0</v>
      </c>
      <c r="X20" s="21">
        <f t="shared" si="2"/>
        <v>0</v>
      </c>
      <c r="Y20" s="21">
        <f t="shared" si="2"/>
        <v>0</v>
      </c>
      <c r="Z20" s="21">
        <f t="shared" si="2"/>
        <v>0</v>
      </c>
      <c r="AA20" s="21">
        <f t="shared" si="2"/>
        <v>0</v>
      </c>
      <c r="AB20" s="22">
        <f t="shared" si="2"/>
        <v>0</v>
      </c>
      <c r="AC20" s="22">
        <f t="shared" si="2"/>
        <v>0</v>
      </c>
      <c r="AD20" s="21">
        <f t="shared" si="2"/>
        <v>0</v>
      </c>
      <c r="AE20" s="21">
        <f t="shared" si="2"/>
        <v>0</v>
      </c>
      <c r="AF20" s="21">
        <f t="shared" si="2"/>
        <v>0</v>
      </c>
      <c r="AG20" s="21">
        <f t="shared" si="2"/>
        <v>1</v>
      </c>
      <c r="AH20" s="21">
        <f t="shared" si="2"/>
        <v>0</v>
      </c>
      <c r="AI20" s="1"/>
    </row>
    <row r="21" spans="1:35" ht="38" customHeight="1">
      <c r="A21" s="2" t="s">
        <v>60</v>
      </c>
      <c r="B21" s="18" t="s">
        <v>61</v>
      </c>
      <c r="C21" s="4" t="s">
        <v>14</v>
      </c>
      <c r="D21" s="4" t="s">
        <v>62</v>
      </c>
      <c r="E21" s="5">
        <v>46311</v>
      </c>
      <c r="F21" s="5">
        <v>46311</v>
      </c>
      <c r="G21" s="6">
        <f t="shared" si="0"/>
        <v>1</v>
      </c>
      <c r="H21" s="4" t="s">
        <v>63</v>
      </c>
      <c r="I21" s="4" t="s">
        <v>66</v>
      </c>
      <c r="J21" s="1"/>
      <c r="K21" s="21">
        <f t="shared" si="1"/>
        <v>0</v>
      </c>
      <c r="L21" s="21">
        <f t="shared" si="1"/>
        <v>0</v>
      </c>
      <c r="M21" s="21">
        <f t="shared" si="1"/>
        <v>0</v>
      </c>
      <c r="N21" s="22">
        <f t="shared" si="1"/>
        <v>0</v>
      </c>
      <c r="O21" s="22">
        <f t="shared" si="1"/>
        <v>0</v>
      </c>
      <c r="P21" s="21">
        <f t="shared" si="1"/>
        <v>0</v>
      </c>
      <c r="Q21" s="21">
        <f t="shared" si="1"/>
        <v>0</v>
      </c>
      <c r="R21" s="21">
        <f t="shared" si="1"/>
        <v>0</v>
      </c>
      <c r="S21" s="21">
        <f t="shared" si="1"/>
        <v>0</v>
      </c>
      <c r="T21" s="21">
        <f t="shared" si="1"/>
        <v>0</v>
      </c>
      <c r="U21" s="22">
        <f t="shared" si="2"/>
        <v>0</v>
      </c>
      <c r="V21" s="22">
        <f t="shared" si="2"/>
        <v>0</v>
      </c>
      <c r="W21" s="21">
        <f t="shared" si="2"/>
        <v>0</v>
      </c>
      <c r="X21" s="21">
        <f t="shared" si="2"/>
        <v>0</v>
      </c>
      <c r="Y21" s="21">
        <f t="shared" si="2"/>
        <v>0</v>
      </c>
      <c r="Z21" s="21">
        <f t="shared" si="2"/>
        <v>0</v>
      </c>
      <c r="AA21" s="21">
        <f t="shared" si="2"/>
        <v>0</v>
      </c>
      <c r="AB21" s="22">
        <f t="shared" si="2"/>
        <v>0</v>
      </c>
      <c r="AC21" s="22">
        <f t="shared" si="2"/>
        <v>0</v>
      </c>
      <c r="AD21" s="21">
        <f t="shared" si="2"/>
        <v>0</v>
      </c>
      <c r="AE21" s="21">
        <f t="shared" si="2"/>
        <v>0</v>
      </c>
      <c r="AF21" s="21">
        <f t="shared" si="2"/>
        <v>0</v>
      </c>
      <c r="AG21" s="21">
        <f t="shared" si="2"/>
        <v>0</v>
      </c>
      <c r="AH21" s="21">
        <f t="shared" si="2"/>
        <v>1</v>
      </c>
      <c r="AI21" s="1"/>
    </row>
    <row r="22" spans="1: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</sheetData>
  <mergeCells count="14">
    <mergeCell ref="Y17:AC17"/>
    <mergeCell ref="AC18:AE18"/>
    <mergeCell ref="AE19:AF19"/>
    <mergeCell ref="K5:R5"/>
    <mergeCell ref="S5:AH5"/>
    <mergeCell ref="O7:P8"/>
    <mergeCell ref="P9:S9"/>
    <mergeCell ref="Q10:T10"/>
    <mergeCell ref="Q11:T11"/>
    <mergeCell ref="D3:F3"/>
    <mergeCell ref="A5:E5"/>
    <mergeCell ref="T12:X12"/>
    <mergeCell ref="T13:X14"/>
    <mergeCell ref="Y16:AC16"/>
  </mergeCells>
  <conditionalFormatting sqref="K7:O7 Q7:AH8 K8:N8">
    <cfRule type="cellIs" dxfId="11" priority="1" operator="equal">
      <formula>1</formula>
    </cfRule>
  </conditionalFormatting>
  <conditionalFormatting sqref="K9:P9 T9:AH9">
    <cfRule type="cellIs" dxfId="10" priority="3" operator="equal">
      <formula>1</formula>
    </cfRule>
  </conditionalFormatting>
  <conditionalFormatting sqref="K10:Q10 U10:AH10">
    <cfRule type="cellIs" dxfId="9" priority="4" operator="equal">
      <formula>1</formula>
    </cfRule>
  </conditionalFormatting>
  <conditionalFormatting sqref="K11:Q11 U11:AH11">
    <cfRule type="cellIs" dxfId="8" priority="5" operator="equal">
      <formula>1</formula>
    </cfRule>
  </conditionalFormatting>
  <conditionalFormatting sqref="K12:T12 Y12:AH12">
    <cfRule type="cellIs" dxfId="7" priority="6" operator="equal">
      <formula>1</formula>
    </cfRule>
  </conditionalFormatting>
  <conditionalFormatting sqref="K13:T13 Y13:AH14 K14:S14">
    <cfRule type="cellIs" dxfId="6" priority="7" operator="equal">
      <formula>1</formula>
    </cfRule>
  </conditionalFormatting>
  <conditionalFormatting sqref="K16:Y16 AD16:AH16">
    <cfRule type="cellIs" dxfId="5" priority="10" operator="equal">
      <formula>1</formula>
    </cfRule>
  </conditionalFormatting>
  <conditionalFormatting sqref="K17:Y17 AD17:AH17">
    <cfRule type="cellIs" dxfId="4" priority="11" operator="equal">
      <formula>1</formula>
    </cfRule>
  </conditionalFormatting>
  <conditionalFormatting sqref="K18:AC18 AF18:AH18 K19:AE19 AG19:AH19">
    <cfRule type="cellIs" dxfId="3" priority="12" operator="equal">
      <formula>1</formula>
    </cfRule>
  </conditionalFormatting>
  <conditionalFormatting sqref="K15:AH15">
    <cfRule type="cellIs" dxfId="2" priority="9" operator="equal">
      <formula>1</formula>
    </cfRule>
  </conditionalFormatting>
  <conditionalFormatting sqref="K20:AH20">
    <cfRule type="cellIs" dxfId="1" priority="14" operator="equal">
      <formula>1</formula>
    </cfRule>
  </conditionalFormatting>
  <conditionalFormatting sqref="K21:AH21">
    <cfRule type="cellIs" dxfId="0" priority="15" operator="equal">
      <formula>1</formula>
    </cfRule>
  </conditionalFormatting>
  <dataValidations count="1">
    <dataValidation type="list" sqref="I7:I21" xr:uid="{00000000-0002-0000-0000-000000000000}">
      <formula1>"Not recorded,Not started,In progress,In review,Done"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Arghi Nugroho</cp:lastModifiedBy>
  <dcterms:created xsi:type="dcterms:W3CDTF">2026-09-28T08:17:39Z</dcterms:created>
  <dcterms:modified xsi:type="dcterms:W3CDTF">2026-10-15T21:04:57Z</dcterms:modified>
</cp:coreProperties>
</file>